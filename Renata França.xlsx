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parenatafranca-my.sharepoint.com/personal/contato_sparenatafranca_com/Documents/"/>
    </mc:Choice>
  </mc:AlternateContent>
  <xr:revisionPtr revIDLastSave="113" documentId="8_{E1B4E9A3-6D3E-4364-8918-A9FEBACBBAE2}" xr6:coauthVersionLast="47" xr6:coauthVersionMax="47" xr10:uidLastSave="{01D18BC9-2221-46DE-8F3A-28A442B38DAE}"/>
  <bookViews>
    <workbookView xWindow="0" yWindow="0" windowWidth="288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I45" i="1"/>
  <c r="I42" i="1"/>
  <c r="I43" i="1"/>
  <c r="I36" i="1"/>
  <c r="I37" i="1"/>
  <c r="I38" i="1"/>
  <c r="I35" i="1"/>
  <c r="I39" i="1" s="1"/>
  <c r="B37" i="1" l="1"/>
  <c r="B41" i="1" s="1"/>
  <c r="C41" i="1" s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  <c r="C7" i="1"/>
  <c r="C8" i="1"/>
  <c r="C9" i="1"/>
  <c r="C10" i="1"/>
  <c r="C11" i="1"/>
  <c r="C6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tc={6F21446A-8248-4060-B852-3219520B81EE}</author>
  </authors>
  <commentList>
    <comment ref="G3" authorId="0" shapeId="0" xr:uid="{6F21446A-8248-4060-B852-3219520B81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estimei custo de infra, aluguel e trabalhistas CLT - somente comissão
Responder:
    Sobre valor cheio de 520,00 e o calculo abaixo</t>
      </text>
    </comment>
  </commentList>
</comments>
</file>

<file path=xl/sharedStrings.xml><?xml version="1.0" encoding="utf-8"?>
<sst xmlns="http://schemas.openxmlformats.org/spreadsheetml/2006/main" count="100" uniqueCount="91">
  <si>
    <t>SERVIÇOS E PREÇOS</t>
  </si>
  <si>
    <t>Serviço</t>
  </si>
  <si>
    <t>Preço cheio</t>
  </si>
  <si>
    <t>VOLUME DE ATENDIMENTOS</t>
  </si>
  <si>
    <t>Informação</t>
  </si>
  <si>
    <t>Valor</t>
  </si>
  <si>
    <t>COMISSÕES E EQUIPE</t>
  </si>
  <si>
    <t>Comissão % por atendimento</t>
  </si>
  <si>
    <t>Existe salário fixo? (Sim/Não)</t>
  </si>
  <si>
    <t>Valor salário fixo (se houver)</t>
  </si>
  <si>
    <t>Tipo de vínculo (CLT/PJ/autônoma)</t>
  </si>
  <si>
    <t>CUSTO POR ATENDIMENTO</t>
  </si>
  <si>
    <t>Custo médio de produto por sessão</t>
  </si>
  <si>
    <t>Custo descartáveis por sessão</t>
  </si>
  <si>
    <t>Taxa média de cartão (%)</t>
  </si>
  <si>
    <t>Outras taxas variáveis</t>
  </si>
  <si>
    <t>CUSTOS FIXOS MENSAIS</t>
  </si>
  <si>
    <t>Item</t>
  </si>
  <si>
    <t>Internet</t>
  </si>
  <si>
    <t>Software de agendamento</t>
  </si>
  <si>
    <t>Contabilidade</t>
  </si>
  <si>
    <t>IMPOSTOS</t>
  </si>
  <si>
    <t>Alíquota média (%)</t>
  </si>
  <si>
    <t xml:space="preserve">INVESTIMENTO </t>
  </si>
  <si>
    <t>Reforma</t>
  </si>
  <si>
    <t>Equipamentos</t>
  </si>
  <si>
    <t>Capital de giro inicial</t>
  </si>
  <si>
    <t>agua</t>
  </si>
  <si>
    <t>luz</t>
  </si>
  <si>
    <t>lavanderia</t>
  </si>
  <si>
    <t>ar condicionado</t>
  </si>
  <si>
    <t>estacionamento</t>
  </si>
  <si>
    <t>produtos de limpeza/ descartáveis</t>
  </si>
  <si>
    <t>Preço pac10</t>
  </si>
  <si>
    <t>Preço pac05</t>
  </si>
  <si>
    <t>Preço pac20</t>
  </si>
  <si>
    <t>% da receita</t>
  </si>
  <si>
    <t>Número de terapeutas</t>
  </si>
  <si>
    <t>Miracle corporal 50'</t>
  </si>
  <si>
    <t xml:space="preserve"> Miracle corporal 80'</t>
  </si>
  <si>
    <t>Miracle Face 30'</t>
  </si>
  <si>
    <t>Relaxante 60'</t>
  </si>
  <si>
    <t>Relaxante 80'</t>
  </si>
  <si>
    <t>Drenagem 50'</t>
  </si>
  <si>
    <t>Ayurvedica</t>
  </si>
  <si>
    <t>Atendimentos médios por dia (dia quente)</t>
  </si>
  <si>
    <t>Atendimentos médios por dia (dia frio)</t>
  </si>
  <si>
    <t>Quantidade de dias quentes por mês</t>
  </si>
  <si>
    <t>Quantidade de dias frios por mês</t>
  </si>
  <si>
    <t>Atendimentos médios mensais reais (media de 2025)</t>
  </si>
  <si>
    <t>terça a quinta</t>
  </si>
  <si>
    <t>domingo e segunda</t>
  </si>
  <si>
    <t>sim</t>
  </si>
  <si>
    <t>sobre o valor recebido</t>
  </si>
  <si>
    <t>clt</t>
  </si>
  <si>
    <t>Aluguel /iptu</t>
  </si>
  <si>
    <t>produtos de atendimento( Oleo e creme)</t>
  </si>
  <si>
    <t>Média de novos clientes mês</t>
  </si>
  <si>
    <t>Média de Visitas mês</t>
  </si>
  <si>
    <t>PACOTES ATIVOS</t>
  </si>
  <si>
    <t xml:space="preserve">Relatorio 01889 </t>
  </si>
  <si>
    <t>Segunda</t>
  </si>
  <si>
    <t>Terça</t>
  </si>
  <si>
    <t>Quarta</t>
  </si>
  <si>
    <t>Quinta</t>
  </si>
  <si>
    <t>Sexta</t>
  </si>
  <si>
    <t>Domingo</t>
  </si>
  <si>
    <t>01889 - Dia da semana preferido e número de visitas de cliente específico</t>
  </si>
  <si>
    <t>Lavanderia</t>
  </si>
  <si>
    <t xml:space="preserve"> lencol com elastico</t>
  </si>
  <si>
    <t xml:space="preserve"> sem elastico</t>
  </si>
  <si>
    <t xml:space="preserve"> fronha</t>
  </si>
  <si>
    <t>toalhas</t>
  </si>
  <si>
    <t>Odorizante de ambiente 250 ml/ 15 atendimentos</t>
  </si>
  <si>
    <t>Descartavel</t>
  </si>
  <si>
    <t>ITENS DE SALA</t>
  </si>
  <si>
    <t>ANO</t>
  </si>
  <si>
    <t>Média mensael realidade SPA - 10 terapeutas</t>
  </si>
  <si>
    <t>Sugiro vc estimar 4.000 para sua realidade terá variações pelo movimento</t>
  </si>
  <si>
    <t>Sugestão inicial 3/4</t>
  </si>
  <si>
    <t>Produto + Comissão cheia</t>
  </si>
  <si>
    <t>Ticket médio anual 2025</t>
  </si>
  <si>
    <t>Número de clientes ativos ano 2025 ( Relatorio 01889 )</t>
  </si>
  <si>
    <t>% de clientes recorrentes ano</t>
  </si>
  <si>
    <t>% de no-show ( FALYAS)</t>
  </si>
  <si>
    <t>MÊS (PACOTE+AVULSO)</t>
  </si>
  <si>
    <t>QTD</t>
  </si>
  <si>
    <t>Creme 7 massagens - 1Kg = 250,00</t>
  </si>
  <si>
    <t>Lavanderia + Produto</t>
  </si>
  <si>
    <t>Preço - Custo (valor cheio) ver obs acima</t>
  </si>
  <si>
    <t>seguro carro clientes + alarme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</si>
</sst>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rgb="FF33333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4" fontId="1" fillId="3" borderId="2" xfId="0" applyNumberFormat="1" applyFont="1" applyFill="1" applyBorder="1" applyAlignment="1">
      <alignment vertical="top"/>
    </xf>
    <xf numFmtId="4" fontId="1" fillId="0" borderId="0" xfId="0" applyNumberFormat="1" applyFont="1" applyAlignment="1">
      <alignment vertical="top"/>
    </xf>
    <xf numFmtId="0" fontId="1" fillId="0" borderId="3" xfId="0" applyFont="1" applyBorder="1" applyAlignment="1">
      <alignment vertical="top"/>
    </xf>
    <xf numFmtId="4" fontId="1" fillId="3" borderId="3" xfId="0" applyNumberFormat="1" applyFont="1" applyFill="1" applyBorder="1" applyAlignment="1">
      <alignment vertical="top"/>
    </xf>
    <xf numFmtId="4" fontId="2" fillId="2" borderId="0" xfId="0" applyNumberFormat="1" applyFont="1" applyFill="1" applyAlignment="1">
      <alignment vertical="top"/>
    </xf>
    <xf numFmtId="4" fontId="1" fillId="0" borderId="1" xfId="0" applyNumberFormat="1" applyFont="1" applyBorder="1" applyAlignment="1">
      <alignment vertical="top"/>
    </xf>
    <xf numFmtId="4" fontId="1" fillId="3" borderId="1" xfId="0" applyNumberFormat="1" applyFont="1" applyFill="1" applyBorder="1" applyAlignment="1">
      <alignment vertical="top"/>
    </xf>
    <xf numFmtId="4" fontId="1" fillId="4" borderId="2" xfId="0" applyNumberFormat="1" applyFont="1" applyFill="1" applyBorder="1" applyAlignment="1">
      <alignment vertical="top"/>
    </xf>
    <xf numFmtId="4" fontId="1" fillId="4" borderId="3" xfId="0" applyNumberFormat="1" applyFont="1" applyFill="1" applyBorder="1" applyAlignment="1">
      <alignment vertical="top"/>
    </xf>
    <xf numFmtId="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0" fontId="4" fillId="0" borderId="3" xfId="0" applyFont="1" applyBorder="1" applyAlignment="1">
      <alignment vertical="top"/>
    </xf>
    <xf numFmtId="0" fontId="0" fillId="0" borderId="4" xfId="0" applyBorder="1"/>
    <xf numFmtId="0" fontId="0" fillId="5" borderId="4" xfId="0" applyFill="1" applyBorder="1"/>
    <xf numFmtId="0" fontId="1" fillId="3" borderId="2" xfId="0" applyFont="1" applyFill="1" applyBorder="1" applyAlignment="1">
      <alignment vertical="top"/>
    </xf>
    <xf numFmtId="0" fontId="5" fillId="0" borderId="0" xfId="0" applyFont="1"/>
    <xf numFmtId="44" fontId="0" fillId="0" borderId="0" xfId="0" applyNumberFormat="1"/>
    <xf numFmtId="10" fontId="1" fillId="3" borderId="1" xfId="0" applyNumberFormat="1" applyFont="1" applyFill="1" applyBorder="1" applyAlignment="1">
      <alignment vertical="top"/>
    </xf>
    <xf numFmtId="0" fontId="0" fillId="0" borderId="5" xfId="0" applyBorder="1"/>
    <xf numFmtId="0" fontId="4" fillId="0" borderId="4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4" fontId="4" fillId="0" borderId="4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44" fontId="0" fillId="0" borderId="10" xfId="0" applyNumberFormat="1" applyBorder="1"/>
    <xf numFmtId="0" fontId="0" fillId="0" borderId="12" xfId="0" applyBorder="1"/>
    <xf numFmtId="44" fontId="0" fillId="0" borderId="13" xfId="0" applyNumberFormat="1" applyBorder="1"/>
    <xf numFmtId="4" fontId="4" fillId="0" borderId="6" xfId="0" applyNumberFormat="1" applyFont="1" applyBorder="1" applyAlignment="1">
      <alignment vertical="top"/>
    </xf>
    <xf numFmtId="0" fontId="5" fillId="6" borderId="7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1" fillId="0" borderId="9" xfId="0" applyFont="1" applyBorder="1" applyAlignment="1">
      <alignment vertical="top"/>
    </xf>
    <xf numFmtId="4" fontId="1" fillId="0" borderId="11" xfId="0" applyNumberFormat="1" applyFont="1" applyBorder="1" applyAlignment="1">
      <alignment vertical="top"/>
    </xf>
    <xf numFmtId="0" fontId="5" fillId="6" borderId="6" xfId="0" applyFont="1" applyFill="1" applyBorder="1" applyAlignment="1">
      <alignment horizontal="left"/>
    </xf>
    <xf numFmtId="0" fontId="0" fillId="6" borderId="7" xfId="0" applyFill="1" applyBorder="1" applyAlignment="1">
      <alignment horizontal="left"/>
    </xf>
    <xf numFmtId="44" fontId="0" fillId="6" borderId="8" xfId="0" applyNumberFormat="1" applyFill="1" applyBorder="1"/>
    <xf numFmtId="0" fontId="5" fillId="0" borderId="9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11" xfId="0" applyFont="1" applyBorder="1"/>
    <xf numFmtId="4" fontId="3" fillId="0" borderId="0" xfId="0" applyNumberFormat="1" applyFont="1" applyAlignment="1">
      <alignment vertical="top"/>
    </xf>
    <xf numFmtId="4" fontId="0" fillId="0" borderId="0" xfId="0" applyNumberFormat="1"/>
    <xf numFmtId="4" fontId="4" fillId="6" borderId="0" xfId="0" applyNumberFormat="1" applyFont="1" applyFill="1" applyAlignment="1">
      <alignment vertical="top"/>
    </xf>
    <xf numFmtId="4" fontId="1" fillId="6" borderId="0" xfId="0" applyNumberFormat="1" applyFont="1" applyFill="1" applyAlignment="1">
      <alignment vertical="top"/>
    </xf>
    <xf numFmtId="4" fontId="4" fillId="7" borderId="0" xfId="0" applyNumberFormat="1" applyFont="1" applyFill="1" applyAlignment="1">
      <alignment vertical="top"/>
    </xf>
    <xf numFmtId="4" fontId="1" fillId="7" borderId="0" xfId="0" applyNumberFormat="1" applyFont="1" applyFill="1" applyAlignment="1">
      <alignment vertical="top"/>
    </xf>
    <xf numFmtId="0" fontId="0" fillId="7" borderId="0" xfId="0" applyFill="1"/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ina" id="{50F31D0D-8835-454E-9DBB-02927A3AFE31}" userId="S::contato@sparenatafranca.com::82d090be-7822-4877-830c-23e271db5ca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2-12T18:22:49.26" personId="{50F31D0D-8835-454E-9DBB-02927A3AFE31}" id="{6F21446A-8248-4060-B852-3219520B81EE}">
    <text>Não estimei custo de infra, aluguel e trabalhistas CLT - somente comissão</text>
  </threadedComment>
  <threadedComment ref="G3" dT="2026-02-12T18:23:35.82" personId="{50F31D0D-8835-454E-9DBB-02927A3AFE31}" id="{890455C7-DDBC-4643-AECA-70B0C605405C}" parentId="{6F21446A-8248-4060-B852-3219520B81EE}">
    <text>Sobre valor cheio de 520,00 e o calculo abaixo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0"/>
  <sheetViews>
    <sheetView showGridLines="0" tabSelected="1" workbookViewId="0">
      <selection activeCell="C52" sqref="C52"/>
    </sheetView>
  </sheetViews>
  <sheetFormatPr defaultColWidth="12.7109375" defaultRowHeight="15.75" customHeight="1" x14ac:dyDescent="0.2"/>
  <cols>
    <col min="1" max="1" width="49.7109375" customWidth="1"/>
    <col min="2" max="2" width="17.42578125" bestFit="1" customWidth="1"/>
    <col min="3" max="5" width="22.7109375" customWidth="1"/>
    <col min="7" max="7" width="42.85546875" bestFit="1" customWidth="1"/>
    <col min="8" max="8" width="5.85546875" bestFit="1" customWidth="1"/>
  </cols>
  <sheetData>
    <row r="1" spans="1:7" ht="19.5" customHeight="1" x14ac:dyDescent="0.2">
      <c r="A1" s="1"/>
      <c r="B1" s="1"/>
      <c r="C1" s="1"/>
      <c r="D1" s="1"/>
      <c r="E1" s="1"/>
      <c r="F1" s="1"/>
    </row>
    <row r="2" spans="1:7" ht="19.5" customHeight="1" x14ac:dyDescent="0.2">
      <c r="A2" s="2" t="s">
        <v>0</v>
      </c>
      <c r="B2" s="2"/>
      <c r="C2" s="2"/>
      <c r="D2" s="2"/>
      <c r="E2" s="2"/>
      <c r="F2" s="1"/>
    </row>
    <row r="3" spans="1:7" ht="19.5" customHeight="1" x14ac:dyDescent="0.2">
      <c r="A3" s="1"/>
      <c r="B3" s="1"/>
      <c r="C3" s="14">
        <v>0.1</v>
      </c>
      <c r="D3" s="14">
        <v>0.2</v>
      </c>
      <c r="E3" s="14">
        <v>0.25</v>
      </c>
      <c r="F3" s="1"/>
      <c r="G3" s="21"/>
    </row>
    <row r="4" spans="1:7" ht="19.5" customHeight="1" x14ac:dyDescent="0.2">
      <c r="A4" s="3" t="s">
        <v>1</v>
      </c>
      <c r="B4" s="3" t="s">
        <v>2</v>
      </c>
      <c r="C4" s="3" t="s">
        <v>34</v>
      </c>
      <c r="D4" s="3" t="s">
        <v>33</v>
      </c>
      <c r="E4" s="3" t="s">
        <v>35</v>
      </c>
      <c r="F4" s="1" t="s">
        <v>36</v>
      </c>
      <c r="G4" s="15" t="s">
        <v>89</v>
      </c>
    </row>
    <row r="5" spans="1:7" ht="19.5" customHeight="1" x14ac:dyDescent="0.2">
      <c r="A5" s="4" t="s">
        <v>38</v>
      </c>
      <c r="B5" s="5">
        <v>520</v>
      </c>
      <c r="C5" s="5">
        <f>B5*(1-$C$3)</f>
        <v>468</v>
      </c>
      <c r="D5" s="5">
        <f>B5*(1-$D$3)</f>
        <v>416</v>
      </c>
      <c r="E5" s="5">
        <f>B5*(1-$E$3)</f>
        <v>390</v>
      </c>
      <c r="F5" s="6"/>
      <c r="G5" s="46">
        <f>B5-C41</f>
        <v>375.2657142857143</v>
      </c>
    </row>
    <row r="6" spans="1:7" ht="19.5" customHeight="1" x14ac:dyDescent="0.2">
      <c r="A6" s="4" t="s">
        <v>39</v>
      </c>
      <c r="B6" s="5">
        <v>720</v>
      </c>
      <c r="C6" s="5">
        <f>B6*(1-$C$3)</f>
        <v>648</v>
      </c>
      <c r="D6" s="5">
        <f t="shared" ref="D6:D11" si="0">B6*(1-$D$3)</f>
        <v>576</v>
      </c>
      <c r="E6" s="5">
        <f t="shared" ref="E6:E11" si="1">B6*(1-$E$3)</f>
        <v>540</v>
      </c>
      <c r="F6" s="6"/>
    </row>
    <row r="7" spans="1:7" ht="19.5" customHeight="1" x14ac:dyDescent="0.2">
      <c r="A7" s="4" t="s">
        <v>40</v>
      </c>
      <c r="B7" s="5">
        <v>320</v>
      </c>
      <c r="C7" s="5">
        <f t="shared" ref="C7:C11" si="2">B7*(1-$C$3)</f>
        <v>288</v>
      </c>
      <c r="D7" s="5">
        <f t="shared" si="0"/>
        <v>256</v>
      </c>
      <c r="E7" s="5">
        <f t="shared" si="1"/>
        <v>240</v>
      </c>
      <c r="F7" s="6"/>
    </row>
    <row r="8" spans="1:7" ht="19.5" customHeight="1" x14ac:dyDescent="0.2">
      <c r="A8" s="4" t="s">
        <v>41</v>
      </c>
      <c r="B8" s="5">
        <v>520</v>
      </c>
      <c r="C8" s="5">
        <f t="shared" si="2"/>
        <v>468</v>
      </c>
      <c r="D8" s="5">
        <f t="shared" si="0"/>
        <v>416</v>
      </c>
      <c r="E8" s="5">
        <f t="shared" si="1"/>
        <v>390</v>
      </c>
      <c r="F8" s="6"/>
    </row>
    <row r="9" spans="1:7" ht="19.5" customHeight="1" x14ac:dyDescent="0.2">
      <c r="A9" s="7" t="s">
        <v>42</v>
      </c>
      <c r="B9" s="8">
        <v>720</v>
      </c>
      <c r="C9" s="5">
        <f t="shared" si="2"/>
        <v>648</v>
      </c>
      <c r="D9" s="5">
        <f t="shared" si="0"/>
        <v>576</v>
      </c>
      <c r="E9" s="5">
        <f t="shared" si="1"/>
        <v>540</v>
      </c>
      <c r="F9" s="6"/>
    </row>
    <row r="10" spans="1:7" ht="19.5" customHeight="1" x14ac:dyDescent="0.2">
      <c r="A10" s="1" t="s">
        <v>43</v>
      </c>
      <c r="B10" s="5">
        <v>520</v>
      </c>
      <c r="C10" s="5">
        <f t="shared" si="2"/>
        <v>468</v>
      </c>
      <c r="D10" s="5">
        <f t="shared" si="0"/>
        <v>416</v>
      </c>
      <c r="E10" s="5">
        <f t="shared" si="1"/>
        <v>390</v>
      </c>
      <c r="F10" s="6"/>
    </row>
    <row r="11" spans="1:7" ht="19.5" customHeight="1" x14ac:dyDescent="0.2">
      <c r="A11" s="1" t="s">
        <v>44</v>
      </c>
      <c r="B11" s="8">
        <v>720</v>
      </c>
      <c r="C11" s="5">
        <f t="shared" si="2"/>
        <v>648</v>
      </c>
      <c r="D11" s="5">
        <f t="shared" si="0"/>
        <v>576</v>
      </c>
      <c r="E11" s="5">
        <f t="shared" si="1"/>
        <v>540</v>
      </c>
      <c r="F11" s="6"/>
    </row>
    <row r="12" spans="1:7" ht="19.5" customHeight="1" x14ac:dyDescent="0.2">
      <c r="A12" s="2" t="s">
        <v>3</v>
      </c>
      <c r="B12" s="9"/>
      <c r="C12" s="9"/>
      <c r="D12" s="9"/>
      <c r="E12" s="9"/>
      <c r="F12" s="6"/>
    </row>
    <row r="13" spans="1:7" ht="19.5" customHeight="1" x14ac:dyDescent="0.2">
      <c r="A13" s="1"/>
      <c r="B13" s="6"/>
      <c r="C13" s="6"/>
      <c r="D13" s="6"/>
      <c r="E13" s="6"/>
      <c r="F13" s="6"/>
    </row>
    <row r="14" spans="1:7" ht="19.5" customHeight="1" x14ac:dyDescent="0.2">
      <c r="A14" s="3" t="s">
        <v>4</v>
      </c>
      <c r="B14" s="10" t="s">
        <v>5</v>
      </c>
      <c r="C14" s="6"/>
      <c r="D14" s="6"/>
      <c r="E14" s="6"/>
      <c r="F14" s="6"/>
    </row>
    <row r="15" spans="1:7" ht="19.5" customHeight="1" x14ac:dyDescent="0.2">
      <c r="A15" s="4" t="s">
        <v>45</v>
      </c>
      <c r="B15" s="20">
        <v>23</v>
      </c>
      <c r="C15" s="6"/>
      <c r="D15" s="6"/>
      <c r="E15" s="6"/>
      <c r="F15" s="6"/>
    </row>
    <row r="16" spans="1:7" ht="19.5" customHeight="1" x14ac:dyDescent="0.2">
      <c r="A16" s="4" t="s">
        <v>46</v>
      </c>
      <c r="B16" s="20">
        <v>14</v>
      </c>
      <c r="C16" s="6"/>
      <c r="D16" s="6"/>
      <c r="E16" s="6"/>
      <c r="F16" s="6"/>
    </row>
    <row r="17" spans="1:9" ht="19.5" customHeight="1" x14ac:dyDescent="0.2">
      <c r="A17" s="4" t="s">
        <v>47</v>
      </c>
      <c r="B17" s="5" t="s">
        <v>51</v>
      </c>
      <c r="C17" s="6"/>
      <c r="D17" s="6"/>
      <c r="E17" s="6"/>
      <c r="F17" s="6"/>
    </row>
    <row r="18" spans="1:9" ht="19.5" customHeight="1" x14ac:dyDescent="0.2">
      <c r="A18" s="4" t="s">
        <v>48</v>
      </c>
      <c r="B18" s="5" t="s">
        <v>50</v>
      </c>
      <c r="C18" s="6"/>
      <c r="D18" s="6"/>
      <c r="E18" s="6"/>
      <c r="F18" s="6"/>
    </row>
    <row r="19" spans="1:9" ht="19.5" customHeight="1" x14ac:dyDescent="0.2">
      <c r="A19" s="4" t="s">
        <v>49</v>
      </c>
      <c r="B19" s="20">
        <v>492</v>
      </c>
      <c r="C19" s="16" t="s">
        <v>85</v>
      </c>
      <c r="D19" s="6"/>
      <c r="E19" s="6"/>
      <c r="F19" s="6"/>
    </row>
    <row r="20" spans="1:9" ht="19.5" customHeight="1" x14ac:dyDescent="0.2">
      <c r="A20" s="28" t="s">
        <v>84</v>
      </c>
      <c r="B20" s="20">
        <v>104</v>
      </c>
      <c r="C20" s="16" t="s">
        <v>76</v>
      </c>
      <c r="D20" s="52" t="s">
        <v>67</v>
      </c>
      <c r="E20" s="52"/>
      <c r="F20" s="52"/>
      <c r="G20" s="52"/>
      <c r="H20" s="52"/>
      <c r="I20" s="52"/>
    </row>
    <row r="21" spans="1:9" ht="19.5" customHeight="1" x14ac:dyDescent="0.2">
      <c r="A21" s="28" t="s">
        <v>83</v>
      </c>
      <c r="B21" s="20">
        <v>224</v>
      </c>
      <c r="C21" s="16" t="s">
        <v>59</v>
      </c>
      <c r="D21" s="19" t="s">
        <v>61</v>
      </c>
      <c r="E21" s="19" t="s">
        <v>62</v>
      </c>
      <c r="F21" s="19" t="s">
        <v>63</v>
      </c>
      <c r="G21" s="19" t="s">
        <v>64</v>
      </c>
      <c r="H21" s="19" t="s">
        <v>65</v>
      </c>
      <c r="I21" s="19" t="s">
        <v>66</v>
      </c>
    </row>
    <row r="22" spans="1:9" ht="19.5" customHeight="1" x14ac:dyDescent="0.2">
      <c r="A22" s="17" t="s">
        <v>82</v>
      </c>
      <c r="B22" s="8">
        <v>1137</v>
      </c>
      <c r="C22" s="16" t="s">
        <v>60</v>
      </c>
      <c r="D22" s="24">
        <v>1128</v>
      </c>
      <c r="E22" s="24">
        <v>864</v>
      </c>
      <c r="F22" s="24">
        <v>934</v>
      </c>
      <c r="G22" s="18">
        <v>906</v>
      </c>
      <c r="H22" s="18">
        <v>1318</v>
      </c>
      <c r="I22" s="18">
        <v>1043</v>
      </c>
    </row>
    <row r="23" spans="1:9" ht="19.5" customHeight="1" x14ac:dyDescent="0.2">
      <c r="A23" s="25" t="s">
        <v>57</v>
      </c>
      <c r="B23" s="26">
        <v>53</v>
      </c>
      <c r="C23" s="27" t="s">
        <v>58</v>
      </c>
      <c r="D23" s="26">
        <v>338</v>
      </c>
      <c r="E23" s="27" t="s">
        <v>81</v>
      </c>
      <c r="F23" s="26">
        <v>480</v>
      </c>
    </row>
    <row r="24" spans="1:9" ht="19.5" customHeight="1" x14ac:dyDescent="0.2">
      <c r="A24" s="2" t="s">
        <v>6</v>
      </c>
      <c r="B24" s="9"/>
      <c r="C24" s="9"/>
      <c r="D24" s="9"/>
      <c r="E24" s="9"/>
      <c r="F24" s="6"/>
    </row>
    <row r="25" spans="1:9" ht="19.5" customHeight="1" x14ac:dyDescent="0.2">
      <c r="A25" s="1"/>
      <c r="B25" s="6"/>
      <c r="C25" s="6"/>
      <c r="D25" s="6"/>
      <c r="E25" s="6"/>
      <c r="F25" s="6"/>
    </row>
    <row r="26" spans="1:9" ht="19.5" customHeight="1" x14ac:dyDescent="0.2">
      <c r="A26" s="3" t="s">
        <v>4</v>
      </c>
      <c r="B26" s="10" t="s">
        <v>5</v>
      </c>
      <c r="C26" s="6"/>
      <c r="D26" s="6"/>
      <c r="E26" s="6"/>
      <c r="F26" s="6"/>
    </row>
    <row r="27" spans="1:9" ht="19.5" customHeight="1" x14ac:dyDescent="0.2">
      <c r="A27" s="3" t="s">
        <v>37</v>
      </c>
      <c r="B27" s="11">
        <v>10</v>
      </c>
      <c r="C27" s="45" t="s">
        <v>79</v>
      </c>
      <c r="D27" s="6"/>
      <c r="E27" s="6"/>
      <c r="F27" s="6"/>
    </row>
    <row r="28" spans="1:9" ht="19.5" customHeight="1" x14ac:dyDescent="0.2">
      <c r="A28" s="4" t="s">
        <v>7</v>
      </c>
      <c r="B28" s="5">
        <v>15</v>
      </c>
      <c r="C28" s="6" t="s">
        <v>53</v>
      </c>
      <c r="D28" s="6">
        <v>3423</v>
      </c>
      <c r="E28" s="47" t="s">
        <v>77</v>
      </c>
      <c r="F28" s="48"/>
    </row>
    <row r="29" spans="1:9" ht="19.5" customHeight="1" x14ac:dyDescent="0.2">
      <c r="A29" s="4" t="s">
        <v>8</v>
      </c>
      <c r="B29" s="5" t="s">
        <v>52</v>
      </c>
      <c r="C29" s="6"/>
      <c r="D29" s="49" t="s">
        <v>78</v>
      </c>
      <c r="E29" s="50"/>
      <c r="F29" s="50"/>
      <c r="G29" s="51"/>
    </row>
    <row r="30" spans="1:9" ht="19.5" customHeight="1" x14ac:dyDescent="0.2">
      <c r="A30" s="4" t="s">
        <v>9</v>
      </c>
      <c r="B30" s="5">
        <v>1900</v>
      </c>
      <c r="C30" s="6"/>
      <c r="D30" s="6"/>
      <c r="E30" s="6"/>
      <c r="F30" s="6"/>
    </row>
    <row r="31" spans="1:9" ht="19.5" customHeight="1" x14ac:dyDescent="0.2">
      <c r="A31" s="4" t="s">
        <v>10</v>
      </c>
      <c r="B31" s="5" t="s">
        <v>54</v>
      </c>
      <c r="C31" s="6"/>
      <c r="D31" s="6"/>
      <c r="E31" s="6"/>
      <c r="F31" s="6"/>
    </row>
    <row r="32" spans="1:9" ht="19.5" customHeight="1" x14ac:dyDescent="0.2">
      <c r="A32" s="7"/>
      <c r="B32" s="8"/>
      <c r="C32" s="6"/>
      <c r="D32" s="6"/>
      <c r="E32" s="6"/>
      <c r="F32" s="6"/>
    </row>
    <row r="33" spans="1:9" ht="19.5" customHeight="1" thickBot="1" x14ac:dyDescent="0.25">
      <c r="A33" s="1"/>
      <c r="B33" s="6"/>
      <c r="C33" s="6"/>
      <c r="D33" s="6"/>
      <c r="E33" s="6"/>
      <c r="F33" s="6"/>
      <c r="G33" s="21" t="s">
        <v>75</v>
      </c>
    </row>
    <row r="34" spans="1:9" ht="19.5" customHeight="1" x14ac:dyDescent="0.2">
      <c r="A34" s="2" t="s">
        <v>11</v>
      </c>
      <c r="B34" s="9"/>
      <c r="C34" s="9"/>
      <c r="D34" s="9"/>
      <c r="E34" s="9"/>
      <c r="F34" s="32" t="s">
        <v>86</v>
      </c>
      <c r="G34" s="33" t="s">
        <v>68</v>
      </c>
      <c r="H34" s="34"/>
      <c r="I34" s="35"/>
    </row>
    <row r="35" spans="1:9" ht="19.5" customHeight="1" x14ac:dyDescent="0.2">
      <c r="A35" s="1"/>
      <c r="B35" s="6"/>
      <c r="C35" s="6"/>
      <c r="D35" s="6"/>
      <c r="E35" s="6"/>
      <c r="F35" s="36">
        <v>1</v>
      </c>
      <c r="G35" s="21" t="s">
        <v>69</v>
      </c>
      <c r="H35">
        <v>2.4500000000000002</v>
      </c>
      <c r="I35" s="29">
        <f>F35*H35</f>
        <v>2.4500000000000002</v>
      </c>
    </row>
    <row r="36" spans="1:9" ht="19.5" customHeight="1" x14ac:dyDescent="0.2">
      <c r="A36" s="3" t="s">
        <v>4</v>
      </c>
      <c r="B36" s="10" t="s">
        <v>5</v>
      </c>
      <c r="C36" s="6"/>
      <c r="D36" s="6"/>
      <c r="E36" s="6"/>
      <c r="F36" s="36">
        <v>1</v>
      </c>
      <c r="G36" s="21" t="s">
        <v>70</v>
      </c>
      <c r="H36">
        <v>2.4500000000000002</v>
      </c>
      <c r="I36" s="29">
        <f t="shared" ref="I36:I38" si="3">F36*H36</f>
        <v>2.4500000000000002</v>
      </c>
    </row>
    <row r="37" spans="1:9" ht="19.5" customHeight="1" x14ac:dyDescent="0.2">
      <c r="A37" s="3" t="s">
        <v>12</v>
      </c>
      <c r="B37" s="11">
        <f>I45</f>
        <v>69.734285714285718</v>
      </c>
      <c r="C37" s="6"/>
      <c r="D37" s="6"/>
      <c r="E37" s="6"/>
      <c r="F37" s="36">
        <v>1</v>
      </c>
      <c r="G37" s="21" t="s">
        <v>71</v>
      </c>
      <c r="H37">
        <v>1.03</v>
      </c>
      <c r="I37" s="29">
        <f t="shared" si="3"/>
        <v>1.03</v>
      </c>
    </row>
    <row r="38" spans="1:9" ht="19.5" customHeight="1" x14ac:dyDescent="0.2">
      <c r="A38" s="3" t="s">
        <v>13</v>
      </c>
      <c r="B38" s="11">
        <v>5</v>
      </c>
      <c r="C38" s="6"/>
      <c r="D38" s="6"/>
      <c r="E38" s="6"/>
      <c r="F38" s="36">
        <v>3</v>
      </c>
      <c r="G38" s="21" t="s">
        <v>72</v>
      </c>
      <c r="H38">
        <v>1.03</v>
      </c>
      <c r="I38" s="29">
        <f t="shared" si="3"/>
        <v>3.09</v>
      </c>
    </row>
    <row r="39" spans="1:9" ht="19.5" customHeight="1" thickBot="1" x14ac:dyDescent="0.25">
      <c r="A39" s="3" t="s">
        <v>14</v>
      </c>
      <c r="B39" s="23">
        <v>0.05</v>
      </c>
      <c r="C39" s="6"/>
      <c r="D39" s="6"/>
      <c r="E39" s="6"/>
      <c r="F39" s="37"/>
      <c r="G39" s="30"/>
      <c r="H39" s="30"/>
      <c r="I39" s="31">
        <f>SUM(I34:I38)</f>
        <v>9.02</v>
      </c>
    </row>
    <row r="40" spans="1:9" ht="19.5" customHeight="1" x14ac:dyDescent="0.2">
      <c r="A40" s="3" t="s">
        <v>15</v>
      </c>
      <c r="B40" s="11"/>
      <c r="C40" s="45" t="s">
        <v>80</v>
      </c>
      <c r="D40" s="6"/>
      <c r="E40" s="6"/>
      <c r="F40" s="6"/>
      <c r="I40" s="22"/>
    </row>
    <row r="41" spans="1:9" ht="19.5" customHeight="1" thickBot="1" x14ac:dyDescent="0.25">
      <c r="A41" s="1"/>
      <c r="B41" s="6">
        <f>SUM(B37:B38)</f>
        <v>74.734285714285718</v>
      </c>
      <c r="C41" s="6">
        <f>B41+70</f>
        <v>144.7342857142857</v>
      </c>
      <c r="D41" s="6"/>
      <c r="E41" s="6"/>
      <c r="F41" s="6"/>
      <c r="I41" s="22"/>
    </row>
    <row r="42" spans="1:9" ht="19.5" customHeight="1" x14ac:dyDescent="0.2">
      <c r="A42" s="2" t="s">
        <v>16</v>
      </c>
      <c r="B42" s="9"/>
      <c r="C42" s="9"/>
      <c r="D42" s="9"/>
      <c r="E42" s="9"/>
      <c r="F42" s="6"/>
      <c r="G42" s="38" t="s">
        <v>87</v>
      </c>
      <c r="H42" s="39"/>
      <c r="I42" s="40">
        <f>250/7</f>
        <v>35.714285714285715</v>
      </c>
    </row>
    <row r="43" spans="1:9" ht="19.5" customHeight="1" x14ac:dyDescent="0.2">
      <c r="A43" s="1"/>
      <c r="B43" s="6"/>
      <c r="C43" s="6"/>
      <c r="D43" s="6"/>
      <c r="E43" s="6"/>
      <c r="F43" s="6"/>
      <c r="G43" s="41" t="s">
        <v>73</v>
      </c>
      <c r="H43" s="42"/>
      <c r="I43" s="29">
        <f>180/15</f>
        <v>12</v>
      </c>
    </row>
    <row r="44" spans="1:9" ht="19.5" customHeight="1" x14ac:dyDescent="0.2">
      <c r="A44" s="3" t="s">
        <v>17</v>
      </c>
      <c r="B44" s="10" t="s">
        <v>5</v>
      </c>
      <c r="C44" s="6"/>
      <c r="D44" s="6"/>
      <c r="E44" s="6"/>
      <c r="F44" s="6"/>
      <c r="G44" s="41" t="s">
        <v>74</v>
      </c>
      <c r="H44" s="43"/>
      <c r="I44" s="29">
        <v>13</v>
      </c>
    </row>
    <row r="45" spans="1:9" ht="19.5" customHeight="1" thickBot="1" x14ac:dyDescent="0.25">
      <c r="A45" s="4" t="s">
        <v>55</v>
      </c>
      <c r="B45" s="5"/>
      <c r="C45" s="6"/>
      <c r="D45" s="6"/>
      <c r="E45" s="6"/>
      <c r="F45" s="6"/>
      <c r="G45" s="44" t="s">
        <v>88</v>
      </c>
      <c r="H45" s="30"/>
      <c r="I45" s="31">
        <f>SUM(I42:I44,I39)</f>
        <v>69.734285714285718</v>
      </c>
    </row>
    <row r="46" spans="1:9" ht="19.5" customHeight="1" x14ac:dyDescent="0.2">
      <c r="A46" s="4" t="s">
        <v>56</v>
      </c>
      <c r="B46" s="5">
        <v>6000</v>
      </c>
      <c r="C46" s="6"/>
      <c r="D46" s="6"/>
      <c r="E46" s="6"/>
      <c r="F46" s="6"/>
    </row>
    <row r="47" spans="1:9" ht="19.5" customHeight="1" x14ac:dyDescent="0.2">
      <c r="A47" s="4" t="s">
        <v>27</v>
      </c>
      <c r="B47" s="5">
        <v>600</v>
      </c>
      <c r="C47" s="6"/>
      <c r="D47" s="6"/>
      <c r="E47" s="6"/>
      <c r="F47" s="6"/>
    </row>
    <row r="48" spans="1:9" ht="19.5" customHeight="1" x14ac:dyDescent="0.2">
      <c r="A48" s="4" t="s">
        <v>28</v>
      </c>
      <c r="B48" s="5">
        <v>800</v>
      </c>
      <c r="C48" s="6"/>
      <c r="D48" s="6"/>
      <c r="E48" s="6"/>
      <c r="F48" s="6"/>
    </row>
    <row r="49" spans="1:6" ht="19.5" customHeight="1" x14ac:dyDescent="0.2">
      <c r="A49" s="4" t="s">
        <v>29</v>
      </c>
      <c r="B49" s="5">
        <v>4000</v>
      </c>
      <c r="C49" s="6"/>
      <c r="D49" s="6"/>
      <c r="E49" s="6"/>
      <c r="F49" s="6"/>
    </row>
    <row r="50" spans="1:6" ht="19.5" customHeight="1" x14ac:dyDescent="0.2">
      <c r="A50" s="4" t="s">
        <v>18</v>
      </c>
      <c r="B50" s="5">
        <v>300</v>
      </c>
      <c r="C50" s="6"/>
      <c r="D50" s="6"/>
      <c r="E50" s="6"/>
      <c r="F50" s="6"/>
    </row>
    <row r="51" spans="1:6" ht="19.5" customHeight="1" x14ac:dyDescent="0.2">
      <c r="A51" s="4" t="s">
        <v>30</v>
      </c>
      <c r="B51" s="5">
        <v>430</v>
      </c>
      <c r="C51" s="6"/>
      <c r="D51" s="6"/>
      <c r="E51" s="6"/>
      <c r="F51" s="6"/>
    </row>
    <row r="52" spans="1:6" ht="19.5" customHeight="1" x14ac:dyDescent="0.2">
      <c r="A52" s="4" t="s">
        <v>19</v>
      </c>
      <c r="B52" s="5">
        <v>1400</v>
      </c>
      <c r="C52" s="6"/>
      <c r="D52" s="6"/>
      <c r="E52" s="6"/>
      <c r="F52" s="6"/>
    </row>
    <row r="53" spans="1:6" ht="19.5" customHeight="1" x14ac:dyDescent="0.2">
      <c r="A53" s="4" t="s">
        <v>20</v>
      </c>
      <c r="B53" s="5">
        <v>2500</v>
      </c>
      <c r="C53" s="6"/>
      <c r="D53" s="6"/>
      <c r="E53" s="6"/>
      <c r="F53" s="6"/>
    </row>
    <row r="54" spans="1:6" ht="19.5" customHeight="1" x14ac:dyDescent="0.2">
      <c r="A54" s="4" t="s">
        <v>32</v>
      </c>
      <c r="B54" s="5">
        <v>2000</v>
      </c>
      <c r="C54" s="6"/>
      <c r="D54" s="6"/>
      <c r="E54" s="6"/>
      <c r="F54" s="6"/>
    </row>
    <row r="55" spans="1:6" ht="19.5" customHeight="1" x14ac:dyDescent="0.2">
      <c r="A55" s="7" t="s">
        <v>31</v>
      </c>
      <c r="B55" s="8">
        <v>2500</v>
      </c>
      <c r="C55" s="6"/>
      <c r="D55" s="6"/>
      <c r="E55" s="6"/>
      <c r="F55" s="6"/>
    </row>
    <row r="56" spans="1:6" ht="19.5" customHeight="1" x14ac:dyDescent="0.2">
      <c r="A56" s="1" t="s">
        <v>90</v>
      </c>
      <c r="B56" s="6">
        <v>1800</v>
      </c>
      <c r="C56" s="6"/>
      <c r="D56" s="6"/>
      <c r="E56" s="6"/>
      <c r="F56" s="6"/>
    </row>
    <row r="57" spans="1:6" ht="19.5" customHeight="1" x14ac:dyDescent="0.2">
      <c r="A57" s="2" t="s">
        <v>21</v>
      </c>
      <c r="B57" s="9"/>
      <c r="C57" s="9"/>
      <c r="D57" s="9"/>
      <c r="E57" s="9"/>
      <c r="F57" s="6"/>
    </row>
    <row r="58" spans="1:6" ht="19.5" customHeight="1" x14ac:dyDescent="0.2">
      <c r="A58" s="1"/>
      <c r="B58" s="6"/>
      <c r="C58" s="6"/>
      <c r="D58" s="6"/>
      <c r="E58" s="6"/>
      <c r="F58" s="6"/>
    </row>
    <row r="59" spans="1:6" ht="19.5" customHeight="1" x14ac:dyDescent="0.2">
      <c r="A59" s="3" t="s">
        <v>4</v>
      </c>
      <c r="B59" s="10" t="s">
        <v>5</v>
      </c>
      <c r="C59" s="6"/>
      <c r="D59" s="6"/>
      <c r="E59" s="6"/>
      <c r="F59" s="6"/>
    </row>
    <row r="60" spans="1:6" ht="19.5" customHeight="1" x14ac:dyDescent="0.2">
      <c r="A60" s="7" t="s">
        <v>22</v>
      </c>
      <c r="B60" s="8"/>
      <c r="C60" s="6"/>
      <c r="D60" s="6"/>
      <c r="E60" s="6"/>
      <c r="F60" s="6"/>
    </row>
    <row r="61" spans="1:6" ht="19.5" customHeight="1" x14ac:dyDescent="0.2">
      <c r="A61" s="1"/>
      <c r="B61" s="6"/>
      <c r="C61" s="6"/>
      <c r="D61" s="6"/>
      <c r="E61" s="6"/>
      <c r="F61" s="6"/>
    </row>
    <row r="62" spans="1:6" ht="19.5" customHeight="1" x14ac:dyDescent="0.2">
      <c r="A62" s="1"/>
      <c r="B62" s="6"/>
      <c r="C62" s="6"/>
      <c r="D62" s="6"/>
      <c r="E62" s="6"/>
      <c r="F62" s="6"/>
    </row>
    <row r="63" spans="1:6" ht="19.5" customHeight="1" x14ac:dyDescent="0.2">
      <c r="A63" s="2" t="s">
        <v>23</v>
      </c>
      <c r="B63" s="9"/>
      <c r="C63" s="9"/>
      <c r="D63" s="9"/>
      <c r="E63" s="9"/>
      <c r="F63" s="6"/>
    </row>
    <row r="64" spans="1:6" ht="19.5" customHeight="1" x14ac:dyDescent="0.2">
      <c r="A64" s="1"/>
      <c r="B64" s="6"/>
      <c r="C64" s="6"/>
      <c r="D64" s="6"/>
      <c r="E64" s="6"/>
      <c r="F64" s="6"/>
    </row>
    <row r="65" spans="1:6" ht="19.5" customHeight="1" x14ac:dyDescent="0.2">
      <c r="A65" s="3" t="s">
        <v>17</v>
      </c>
      <c r="B65" s="10" t="s">
        <v>5</v>
      </c>
      <c r="C65" s="6"/>
      <c r="D65" s="6"/>
      <c r="E65" s="6"/>
      <c r="F65" s="6"/>
    </row>
    <row r="66" spans="1:6" ht="19.5" customHeight="1" x14ac:dyDescent="0.2">
      <c r="A66" s="4" t="s">
        <v>24</v>
      </c>
      <c r="B66" s="12"/>
      <c r="C66" s="6"/>
      <c r="D66" s="6"/>
      <c r="E66" s="6"/>
      <c r="F66" s="6"/>
    </row>
    <row r="67" spans="1:6" ht="19.5" customHeight="1" x14ac:dyDescent="0.2">
      <c r="A67" s="4" t="s">
        <v>25</v>
      </c>
      <c r="B67" s="12"/>
      <c r="C67" s="6"/>
      <c r="D67" s="6"/>
      <c r="E67" s="6"/>
      <c r="F67" s="6"/>
    </row>
    <row r="68" spans="1:6" ht="19.5" customHeight="1" x14ac:dyDescent="0.2">
      <c r="A68" s="4" t="s">
        <v>26</v>
      </c>
      <c r="B68" s="12"/>
      <c r="C68" s="6"/>
      <c r="D68" s="6"/>
      <c r="E68" s="6"/>
      <c r="F68" s="6"/>
    </row>
    <row r="69" spans="1:6" ht="19.5" customHeight="1" x14ac:dyDescent="0.2">
      <c r="A69" s="7"/>
      <c r="B69" s="13"/>
      <c r="C69" s="6"/>
      <c r="D69" s="6"/>
      <c r="E69" s="6"/>
      <c r="F69" s="6"/>
    </row>
    <row r="70" spans="1:6" ht="19.5" customHeight="1" x14ac:dyDescent="0.2">
      <c r="A70" s="1"/>
      <c r="B70" s="6"/>
      <c r="C70" s="6"/>
      <c r="D70" s="6"/>
      <c r="E70" s="6"/>
      <c r="F70" s="6"/>
    </row>
  </sheetData>
  <mergeCells count="1">
    <mergeCell ref="D20:I20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</cp:lastModifiedBy>
  <dcterms:created xsi:type="dcterms:W3CDTF">2026-02-12T17:20:32Z</dcterms:created>
  <dcterms:modified xsi:type="dcterms:W3CDTF">2026-02-12T20:11:08Z</dcterms:modified>
</cp:coreProperties>
</file>